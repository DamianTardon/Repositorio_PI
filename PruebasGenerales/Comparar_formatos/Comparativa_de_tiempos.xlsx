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ian\Documents\RepositorioGit\PI\PruebasGenerales\Comparar_formatos\"/>
    </mc:Choice>
  </mc:AlternateContent>
  <xr:revisionPtr revIDLastSave="0" documentId="13_ncr:1_{765FC27E-08BC-4BCE-AE1E-CA3B2B61484C}" xr6:coauthVersionLast="47" xr6:coauthVersionMax="47" xr10:uidLastSave="{00000000-0000-0000-0000-000000000000}"/>
  <bookViews>
    <workbookView xWindow="-120" yWindow="-120" windowWidth="20730" windowHeight="11160" activeTab="1" xr2:uid="{ADB76DD3-5041-433B-8CFE-8218A09DB51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2" l="1"/>
  <c r="G11" i="2"/>
  <c r="G8" i="2"/>
  <c r="G5" i="2"/>
  <c r="G2" i="2"/>
  <c r="L16" i="2"/>
  <c r="K16" i="2"/>
  <c r="J16" i="2"/>
  <c r="I16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L9" i="2"/>
  <c r="K9" i="2"/>
  <c r="J9" i="2"/>
  <c r="I9" i="2"/>
  <c r="L8" i="2"/>
  <c r="K8" i="2"/>
  <c r="J8" i="2"/>
  <c r="I8" i="2"/>
  <c r="L7" i="2"/>
  <c r="K7" i="2"/>
  <c r="J7" i="2"/>
  <c r="I7" i="2"/>
  <c r="L6" i="2"/>
  <c r="K6" i="2"/>
  <c r="J6" i="2"/>
  <c r="I6" i="2"/>
  <c r="L5" i="2"/>
  <c r="K5" i="2"/>
  <c r="J5" i="2"/>
  <c r="I5" i="2"/>
  <c r="J2" i="2"/>
  <c r="K2" i="2"/>
  <c r="L2" i="2"/>
  <c r="J3" i="2"/>
  <c r="K3" i="2"/>
  <c r="L3" i="2"/>
  <c r="J4" i="2"/>
  <c r="K4" i="2"/>
  <c r="L4" i="2"/>
  <c r="I4" i="2"/>
  <c r="I3" i="2"/>
  <c r="I2" i="2"/>
</calcChain>
</file>

<file path=xl/sharedStrings.xml><?xml version="1.0" encoding="utf-8"?>
<sst xmlns="http://schemas.openxmlformats.org/spreadsheetml/2006/main" count="81" uniqueCount="64">
  <si>
    <t>Formato  Tiempo_lectura  Tiempo_procesamiento  Tiempo_escritura  Tamanio_MB_salida</t>
  </si>
  <si>
    <t xml:space="preserve">    CSV        0.775790              0.112395          5.372535          38.397155</t>
  </si>
  <si>
    <t xml:space="preserve">    NPZ        0.047471              0.084106          0.039206          15.259264</t>
  </si>
  <si>
    <t xml:space="preserve">   HDF5        0.162491              0.086557          0.879021          14.543279</t>
  </si>
  <si>
    <t xml:space="preserve">    RAW        0.007042              0.104455          0.212831           7.629395</t>
  </si>
  <si>
    <t xml:space="preserve">    BIN        0.011355              0.095970          0.263618          15.258789</t>
  </si>
  <si>
    <t xml:space="preserve">    CSV        0.767554              0.084461          5.243327          38.397155</t>
  </si>
  <si>
    <t xml:space="preserve">    NPZ        0.045320              0.089895          0.041623          15.259264</t>
  </si>
  <si>
    <t xml:space="preserve">   HDF5        0.170304              0.085307          1.009642          14.543279</t>
  </si>
  <si>
    <t xml:space="preserve">    RAW        0.005458              0.124455          0.212772           7.629395</t>
  </si>
  <si>
    <t xml:space="preserve">    BIN        0.011701              0.098865          0.458905          15.258789</t>
  </si>
  <si>
    <t xml:space="preserve">    CSV        0.746943              0.090844          5.121767          38.397155</t>
  </si>
  <si>
    <t xml:space="preserve">    NPZ        0.043923              0.088147          0.039707          15.259264</t>
  </si>
  <si>
    <t xml:space="preserve">   HDF5        0.183829              0.118933          0.916121          14.543279</t>
  </si>
  <si>
    <t xml:space="preserve">    RAW        0.005242              0.102806          0.236874           7.629395</t>
  </si>
  <si>
    <t xml:space="preserve">    BIN        0.013916              0.103050          0.257637          15.258789</t>
  </si>
  <si>
    <t xml:space="preserve">    CSV        0.755128              0.087147          5.381657          38.397155</t>
  </si>
  <si>
    <t xml:space="preserve">    NPZ        0.055067              0.098693          0.038704          15.259264</t>
  </si>
  <si>
    <t xml:space="preserve">   HDF5        0.158139              0.098923          0.983343          14.543279</t>
  </si>
  <si>
    <t xml:space="preserve">    RAW        0.008565              0.096455          0.215933           7.629395</t>
  </si>
  <si>
    <t xml:space="preserve">    BIN        0.011415              0.110495          0.286938          15.258789</t>
  </si>
  <si>
    <t xml:space="preserve">    CSV        0.907400              0.099232          5.323551          38.397155</t>
  </si>
  <si>
    <t xml:space="preserve">    NPZ        0.041490              0.082754          0.037668          15.259264</t>
  </si>
  <si>
    <t xml:space="preserve">   HDF5        0.156527              0.090961          1.042289          14.543279</t>
  </si>
  <si>
    <t xml:space="preserve">    RAW        0.008287              0.102526          0.223880           7.629395</t>
  </si>
  <si>
    <t xml:space="preserve">    BIN        0.018535              0.114765          0.354439          15.258789</t>
  </si>
  <si>
    <t xml:space="preserve">    CSV        0.726979              0.095623          5.117524          38.397155</t>
  </si>
  <si>
    <t xml:space="preserve">    NPZ        0.045895              0.102948          0.041306          15.259264</t>
  </si>
  <si>
    <t xml:space="preserve">   HDF5        0.178146              0.113486          1.142134          14.543279</t>
  </si>
  <si>
    <t xml:space="preserve">    RAW        0.006072              0.100725          0.208052           7.629395</t>
  </si>
  <si>
    <t xml:space="preserve">    BIN        0.014529              0.120033          0.332500          15.258789</t>
  </si>
  <si>
    <t xml:space="preserve">    CSV        0.790202              0.105348          5.233121          38.397155</t>
  </si>
  <si>
    <t xml:space="preserve">    NPZ        0.050914              0.097154          0.043637          15.259264</t>
  </si>
  <si>
    <t xml:space="preserve">   HDF5        0.158658              0.097998          0.875015          14.543279</t>
  </si>
  <si>
    <t xml:space="preserve">    RAW        0.006918              0.108052          0.213156           7.629395</t>
  </si>
  <si>
    <t xml:space="preserve">    BIN        0.015570              0.115921          0.265360          15.258789</t>
  </si>
  <si>
    <t xml:space="preserve">    CSV        0.730471              0.107725          5.067407          38.397155</t>
  </si>
  <si>
    <t xml:space="preserve">    NPZ        0.048286              0.098247          0.039752          15.259264</t>
  </si>
  <si>
    <t xml:space="preserve">   HDF5        0.161617              0.100566          0.839962          14.543279</t>
  </si>
  <si>
    <t xml:space="preserve">    RAW        0.005592              0.100423          0.202188           7.629395</t>
  </si>
  <si>
    <t xml:space="preserve">    BIN        0.017770              0.142641          0.254372          15.258789</t>
  </si>
  <si>
    <t xml:space="preserve">    CSV        0.768019              0.131411          5.769836          38.397155</t>
  </si>
  <si>
    <t xml:space="preserve">    NPZ        0.045783              0.088431          0.046035          15.259264</t>
  </si>
  <si>
    <t xml:space="preserve">   HDF5        0.190964              0.094811          0.901857          14.543279</t>
  </si>
  <si>
    <t xml:space="preserve">    RAW        0.006643              0.097061          0.200532           7.629395</t>
  </si>
  <si>
    <t xml:space="preserve">    BIN        0.013388              0.104712          0.337440          15.258789</t>
  </si>
  <si>
    <t xml:space="preserve">    CSV        0.735609              0.095848          5.410282          38.397155</t>
  </si>
  <si>
    <t xml:space="preserve">    NPZ        0.043713              0.087388          0.039596          15.259264</t>
  </si>
  <si>
    <t xml:space="preserve">   HDF5        0.148575              0.090871          0.960754          14.543279</t>
  </si>
  <si>
    <t xml:space="preserve">    RAW        0.005562              0.094196          0.216259           7.629395</t>
  </si>
  <si>
    <t xml:space="preserve">    BIN        0.014575              0.114517          0.272408          15.258789</t>
  </si>
  <si>
    <t>Formato</t>
  </si>
  <si>
    <t>Tiempo_lectura</t>
  </si>
  <si>
    <t>Tiempo_procesamiento</t>
  </si>
  <si>
    <t>Tiempo_escritura</t>
  </si>
  <si>
    <t>Tamanio_MB_salida</t>
  </si>
  <si>
    <t>HDF5</t>
  </si>
  <si>
    <t>RAW</t>
  </si>
  <si>
    <t>NPZ</t>
  </si>
  <si>
    <t>CSV</t>
  </si>
  <si>
    <t>BIN</t>
  </si>
  <si>
    <t>Max</t>
  </si>
  <si>
    <t>Prom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</si>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</sst>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/>
    <xf numFmtId="0" fontId="1" fillId="0" borderId="1" xfId="0" applyFont="1" applyFill="1" applyBorder="1" applyAlignment="1">
      <alignment horizontal="center" vertical="center"/>
    </xf>
    <xf numFmtId="165" fontId="0" fillId="0" borderId="1" xfId="0" applyNumberForma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94A6-7E75-4375-8DC2-2CA21E242AD0}">
  <dimension ref="A1:A51"/>
  <sheetViews>
    <sheetView workbookViewId="0">
      <selection activeCell="A51" sqref="A1:A51"/>
    </sheetView>
  </sheetViews>
  <sheetFormatPr baseColWidth="10" defaultRowHeight="15" x14ac:dyDescent="0.25"/>
  <cols>
    <col min="1" max="1" width="81.5703125" bestFit="1" customWidth="1"/>
  </cols>
  <sheetData>
    <row r="1" spans="1:1" x14ac:dyDescent="0.25">
      <c r="A1" t="s">
        <v>0</v>
      </c>
    </row>
    <row r="2" spans="1:1" x14ac:dyDescent="0.25">
      <c r="A2" t="s">
        <v>43</v>
      </c>
    </row>
    <row r="3" spans="1:1" x14ac:dyDescent="0.25">
      <c r="A3" t="s">
        <v>13</v>
      </c>
    </row>
    <row r="4" spans="1:1" x14ac:dyDescent="0.25">
      <c r="A4" t="s">
        <v>28</v>
      </c>
    </row>
    <row r="5" spans="1:1" x14ac:dyDescent="0.25">
      <c r="A5" t="s">
        <v>8</v>
      </c>
    </row>
    <row r="6" spans="1:1" x14ac:dyDescent="0.25">
      <c r="A6" t="s">
        <v>3</v>
      </c>
    </row>
    <row r="7" spans="1:1" x14ac:dyDescent="0.25">
      <c r="A7" t="s">
        <v>38</v>
      </c>
    </row>
    <row r="8" spans="1:1" x14ac:dyDescent="0.25">
      <c r="A8" t="s">
        <v>33</v>
      </c>
    </row>
    <row r="9" spans="1:1" x14ac:dyDescent="0.25">
      <c r="A9" t="s">
        <v>18</v>
      </c>
    </row>
    <row r="10" spans="1:1" x14ac:dyDescent="0.25">
      <c r="A10" t="s">
        <v>23</v>
      </c>
    </row>
    <row r="11" spans="1:1" x14ac:dyDescent="0.25">
      <c r="A11" t="s">
        <v>48</v>
      </c>
    </row>
    <row r="12" spans="1:1" x14ac:dyDescent="0.25">
      <c r="A12" t="s">
        <v>19</v>
      </c>
    </row>
    <row r="13" spans="1:1" x14ac:dyDescent="0.25">
      <c r="A13" t="s">
        <v>24</v>
      </c>
    </row>
    <row r="14" spans="1:1" x14ac:dyDescent="0.25">
      <c r="A14" t="s">
        <v>4</v>
      </c>
    </row>
    <row r="15" spans="1:1" x14ac:dyDescent="0.25">
      <c r="A15" t="s">
        <v>34</v>
      </c>
    </row>
    <row r="16" spans="1:1" x14ac:dyDescent="0.25">
      <c r="A16" t="s">
        <v>44</v>
      </c>
    </row>
    <row r="17" spans="1:1" x14ac:dyDescent="0.25">
      <c r="A17" t="s">
        <v>29</v>
      </c>
    </row>
    <row r="18" spans="1:1" x14ac:dyDescent="0.25">
      <c r="A18" t="s">
        <v>39</v>
      </c>
    </row>
    <row r="19" spans="1:1" x14ac:dyDescent="0.25">
      <c r="A19" t="s">
        <v>49</v>
      </c>
    </row>
    <row r="20" spans="1:1" x14ac:dyDescent="0.25">
      <c r="A20" t="s">
        <v>9</v>
      </c>
    </row>
    <row r="21" spans="1:1" x14ac:dyDescent="0.25">
      <c r="A21" t="s">
        <v>14</v>
      </c>
    </row>
    <row r="22" spans="1:1" x14ac:dyDescent="0.25">
      <c r="A22" t="s">
        <v>17</v>
      </c>
    </row>
    <row r="23" spans="1:1" x14ac:dyDescent="0.25">
      <c r="A23" t="s">
        <v>32</v>
      </c>
    </row>
    <row r="24" spans="1:1" x14ac:dyDescent="0.25">
      <c r="A24" t="s">
        <v>37</v>
      </c>
    </row>
    <row r="25" spans="1:1" x14ac:dyDescent="0.25">
      <c r="A25" t="s">
        <v>2</v>
      </c>
    </row>
    <row r="26" spans="1:1" x14ac:dyDescent="0.25">
      <c r="A26" t="s">
        <v>27</v>
      </c>
    </row>
    <row r="27" spans="1:1" x14ac:dyDescent="0.25">
      <c r="A27" t="s">
        <v>42</v>
      </c>
    </row>
    <row r="28" spans="1:1" x14ac:dyDescent="0.25">
      <c r="A28" t="s">
        <v>7</v>
      </c>
    </row>
    <row r="29" spans="1:1" x14ac:dyDescent="0.25">
      <c r="A29" t="s">
        <v>12</v>
      </c>
    </row>
    <row r="30" spans="1:1" x14ac:dyDescent="0.25">
      <c r="A30" t="s">
        <v>47</v>
      </c>
    </row>
    <row r="31" spans="1:1" x14ac:dyDescent="0.25">
      <c r="A31" t="s">
        <v>22</v>
      </c>
    </row>
    <row r="32" spans="1:1" x14ac:dyDescent="0.25">
      <c r="A32" t="s">
        <v>21</v>
      </c>
    </row>
    <row r="33" spans="1:1" x14ac:dyDescent="0.25">
      <c r="A33" t="s">
        <v>31</v>
      </c>
    </row>
    <row r="34" spans="1:1" x14ac:dyDescent="0.25">
      <c r="A34" t="s">
        <v>1</v>
      </c>
    </row>
    <row r="35" spans="1:1" x14ac:dyDescent="0.25">
      <c r="A35" t="s">
        <v>41</v>
      </c>
    </row>
    <row r="36" spans="1:1" x14ac:dyDescent="0.25">
      <c r="A36" t="s">
        <v>6</v>
      </c>
    </row>
    <row r="37" spans="1:1" x14ac:dyDescent="0.25">
      <c r="A37" t="s">
        <v>16</v>
      </c>
    </row>
    <row r="38" spans="1:1" x14ac:dyDescent="0.25">
      <c r="A38" t="s">
        <v>11</v>
      </c>
    </row>
    <row r="39" spans="1:1" x14ac:dyDescent="0.25">
      <c r="A39" t="s">
        <v>46</v>
      </c>
    </row>
    <row r="40" spans="1:1" x14ac:dyDescent="0.25">
      <c r="A40" t="s">
        <v>36</v>
      </c>
    </row>
    <row r="41" spans="1:1" x14ac:dyDescent="0.25">
      <c r="A41" t="s">
        <v>26</v>
      </c>
    </row>
    <row r="42" spans="1:1" x14ac:dyDescent="0.25">
      <c r="A42" t="s">
        <v>25</v>
      </c>
    </row>
    <row r="43" spans="1:1" x14ac:dyDescent="0.25">
      <c r="A43" t="s">
        <v>40</v>
      </c>
    </row>
    <row r="44" spans="1:1" x14ac:dyDescent="0.25">
      <c r="A44" t="s">
        <v>35</v>
      </c>
    </row>
    <row r="45" spans="1:1" x14ac:dyDescent="0.25">
      <c r="A45" t="s">
        <v>50</v>
      </c>
    </row>
    <row r="46" spans="1:1" x14ac:dyDescent="0.25">
      <c r="A46" t="s">
        <v>30</v>
      </c>
    </row>
    <row r="47" spans="1:1" x14ac:dyDescent="0.25">
      <c r="A47" t="s">
        <v>15</v>
      </c>
    </row>
    <row r="48" spans="1:1" x14ac:dyDescent="0.25">
      <c r="A48" t="s">
        <v>45</v>
      </c>
    </row>
    <row r="49" spans="1:1" x14ac:dyDescent="0.25">
      <c r="A49" t="s">
        <v>10</v>
      </c>
    </row>
    <row r="50" spans="1:1" x14ac:dyDescent="0.25">
      <c r="A50" t="s">
        <v>20</v>
      </c>
    </row>
    <row r="51" spans="1:1" x14ac:dyDescent="0.25">
      <c r="A51" t="s">
        <v>5</v>
      </c>
    </row>
  </sheetData>
  <sortState xmlns:xlrd2="http://schemas.microsoft.com/office/spreadsheetml/2017/richdata2" ref="A1:A51">
    <sortCondition descending="1" ref="A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BBE0-7247-4DB6-BD70-FE303275B79C}">
  <dimension ref="A1:L51"/>
  <sheetViews>
    <sheetView tabSelected="1" workbookViewId="0">
      <selection activeCell="G5" sqref="G5:G7"/>
    </sheetView>
  </sheetViews>
  <sheetFormatPr baseColWidth="10" defaultRowHeight="15" x14ac:dyDescent="0.25"/>
  <cols>
    <col min="1" max="1" width="8.42578125" bestFit="1" customWidth="1"/>
    <col min="2" max="2" width="14.85546875" bestFit="1" customWidth="1"/>
    <col min="3" max="3" width="22.28515625" bestFit="1" customWidth="1"/>
    <col min="4" max="4" width="16.5703125" bestFit="1" customWidth="1"/>
    <col min="5" max="5" width="18.7109375" bestFit="1" customWidth="1"/>
    <col min="7" max="7" width="8.42578125" bestFit="1" customWidth="1"/>
    <col min="8" max="8" width="5.7109375" bestFit="1" customWidth="1"/>
    <col min="9" max="9" width="14.85546875" bestFit="1" customWidth="1"/>
    <col min="10" max="10" width="22.28515625" bestFit="1" customWidth="1"/>
    <col min="11" max="11" width="16.5703125" bestFit="1" customWidth="1"/>
    <col min="12" max="12" width="18.85546875" bestFit="1" customWidth="1"/>
  </cols>
  <sheetData>
    <row r="1" spans="1:12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G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 x14ac:dyDescent="0.25">
      <c r="A2" s="2" t="s">
        <v>56</v>
      </c>
      <c r="B2" s="3">
        <v>0.19096399999999999</v>
      </c>
      <c r="C2" s="3">
        <v>9.4811000000000006E-2</v>
      </c>
      <c r="D2" s="3">
        <v>0.90185700000000002</v>
      </c>
      <c r="E2" s="3">
        <v>14.543279</v>
      </c>
      <c r="G2" s="2" t="str">
        <f>A2</f>
        <v>HDF5</v>
      </c>
      <c r="H2" s="4" t="s">
        <v>61</v>
      </c>
      <c r="I2" s="5">
        <f>MAX(B2:B11)</f>
        <v>0.19096399999999999</v>
      </c>
      <c r="J2" s="5">
        <f>MAX(C2:C11)</f>
        <v>0.118933</v>
      </c>
      <c r="K2" s="5">
        <f>MAX(D2:D11)</f>
        <v>1.142134</v>
      </c>
      <c r="L2" s="5">
        <f>MAX(E2:E11)</f>
        <v>14.543279</v>
      </c>
    </row>
    <row r="3" spans="1:12" x14ac:dyDescent="0.25">
      <c r="A3" s="2"/>
      <c r="B3" s="3">
        <v>0.18382899999999999</v>
      </c>
      <c r="C3" s="3">
        <v>0.118933</v>
      </c>
      <c r="D3" s="3">
        <v>0.91612099999999996</v>
      </c>
      <c r="E3" s="3">
        <v>14.543279</v>
      </c>
      <c r="G3" s="2"/>
      <c r="H3" s="4" t="s">
        <v>62</v>
      </c>
      <c r="I3" s="5">
        <f>AVERAGE(B2:B11)</f>
        <v>0.16692499999999999</v>
      </c>
      <c r="J3" s="5">
        <f>AVERAGE(C2:C11)</f>
        <v>9.7841300000000006E-2</v>
      </c>
      <c r="K3" s="5">
        <f>AVERAGE(D2:D11)</f>
        <v>0.95501379999999991</v>
      </c>
      <c r="L3" s="5">
        <f>AVERAGE(E2:E11)</f>
        <v>14.543279000000002</v>
      </c>
    </row>
    <row r="4" spans="1:12" x14ac:dyDescent="0.25">
      <c r="A4" s="2"/>
      <c r="B4" s="3">
        <v>0.178146</v>
      </c>
      <c r="C4" s="3">
        <v>0.113486</v>
      </c>
      <c r="D4" s="3">
        <v>1.142134</v>
      </c>
      <c r="E4" s="3">
        <v>14.543279</v>
      </c>
      <c r="G4" s="2"/>
      <c r="H4" s="4" t="s">
        <v>63</v>
      </c>
      <c r="I4" s="5">
        <f>MIN(B2:B11)</f>
        <v>0.14857500000000001</v>
      </c>
      <c r="J4" s="5">
        <f>MIN(C2:C11)</f>
        <v>8.5306999999999994E-2</v>
      </c>
      <c r="K4" s="5">
        <f>MIN(D2:D11)</f>
        <v>0.83996199999999999</v>
      </c>
      <c r="L4" s="5">
        <f>MIN(E2:E11)</f>
        <v>14.543279</v>
      </c>
    </row>
    <row r="5" spans="1:12" x14ac:dyDescent="0.25">
      <c r="A5" s="2"/>
      <c r="B5" s="3">
        <v>0.17030400000000001</v>
      </c>
      <c r="C5" s="3">
        <v>8.5306999999999994E-2</v>
      </c>
      <c r="D5" s="3">
        <v>1.0096419999999999</v>
      </c>
      <c r="E5" s="3">
        <v>14.543279</v>
      </c>
      <c r="G5" s="2" t="str">
        <f>A12</f>
        <v>RAW</v>
      </c>
      <c r="H5" s="4" t="s">
        <v>61</v>
      </c>
      <c r="I5" s="5">
        <f>MAX(B12:B21)</f>
        <v>8.5649999999999997E-3</v>
      </c>
      <c r="J5" s="5">
        <f>MAX(C12:C21)</f>
        <v>0.124455</v>
      </c>
      <c r="K5" s="5">
        <f>MAX(D12:D21)</f>
        <v>0.236874</v>
      </c>
      <c r="L5" s="5">
        <f>MAX(E12:E21)</f>
        <v>7.6293949999999997</v>
      </c>
    </row>
    <row r="6" spans="1:12" x14ac:dyDescent="0.25">
      <c r="A6" s="2"/>
      <c r="B6" s="3">
        <v>0.162491</v>
      </c>
      <c r="C6" s="3">
        <v>8.6556999999999995E-2</v>
      </c>
      <c r="D6" s="3">
        <v>0.87902100000000005</v>
      </c>
      <c r="E6" s="3">
        <v>14.543279</v>
      </c>
      <c r="G6" s="2"/>
      <c r="H6" s="4" t="s">
        <v>62</v>
      </c>
      <c r="I6" s="5">
        <f>AVERAGE(B12:B21)</f>
        <v>6.5380999999999998E-3</v>
      </c>
      <c r="J6" s="5">
        <f>AVERAGE(C12:C21)</f>
        <v>0.1031154</v>
      </c>
      <c r="K6" s="5">
        <f>AVERAGE(D12:D21)</f>
        <v>0.21424769999999999</v>
      </c>
      <c r="L6" s="5">
        <f>AVERAGE(E12:E21)</f>
        <v>7.6293950000000006</v>
      </c>
    </row>
    <row r="7" spans="1:12" x14ac:dyDescent="0.25">
      <c r="A7" s="2"/>
      <c r="B7" s="3">
        <v>0.16161700000000001</v>
      </c>
      <c r="C7" s="3">
        <v>0.100566</v>
      </c>
      <c r="D7" s="3">
        <v>0.83996199999999999</v>
      </c>
      <c r="E7" s="3">
        <v>14.543279</v>
      </c>
      <c r="G7" s="2"/>
      <c r="H7" s="4" t="s">
        <v>63</v>
      </c>
      <c r="I7" s="5">
        <f>MIN(B12:B21)</f>
        <v>5.2420000000000001E-3</v>
      </c>
      <c r="J7" s="5">
        <f>MIN(C12:C21)</f>
        <v>9.4196000000000002E-2</v>
      </c>
      <c r="K7" s="5">
        <f>MIN(D12:D21)</f>
        <v>0.20053199999999999</v>
      </c>
      <c r="L7" s="5">
        <f>MIN(E12:E21)</f>
        <v>7.6293949999999997</v>
      </c>
    </row>
    <row r="8" spans="1:12" x14ac:dyDescent="0.25">
      <c r="A8" s="2"/>
      <c r="B8" s="3">
        <v>0.15865799999999999</v>
      </c>
      <c r="C8" s="3">
        <v>9.7998000000000002E-2</v>
      </c>
      <c r="D8" s="3">
        <v>0.87501499999999999</v>
      </c>
      <c r="E8" s="3">
        <v>14.543279</v>
      </c>
      <c r="G8" s="2" t="str">
        <f>A22</f>
        <v>NPZ</v>
      </c>
      <c r="H8" s="4" t="s">
        <v>61</v>
      </c>
      <c r="I8" s="5">
        <f>MAX(B22:B31)</f>
        <v>5.5066999999999998E-2</v>
      </c>
      <c r="J8" s="5">
        <f>MAX(C22:C31)</f>
        <v>0.102948</v>
      </c>
      <c r="K8" s="5">
        <f>MAX(D22:D31)</f>
        <v>4.6035E-2</v>
      </c>
      <c r="L8" s="5">
        <f>MAX(E22:E31)</f>
        <v>15.259264</v>
      </c>
    </row>
    <row r="9" spans="1:12" x14ac:dyDescent="0.25">
      <c r="A9" s="2"/>
      <c r="B9" s="3">
        <v>0.158139</v>
      </c>
      <c r="C9" s="3">
        <v>9.8922999999999997E-2</v>
      </c>
      <c r="D9" s="3">
        <v>0.98334299999999997</v>
      </c>
      <c r="E9" s="3">
        <v>14.543279</v>
      </c>
      <c r="G9" s="2"/>
      <c r="H9" s="4" t="s">
        <v>62</v>
      </c>
      <c r="I9" s="5">
        <f>AVERAGE(B22:B31)</f>
        <v>4.6786199999999986E-2</v>
      </c>
      <c r="J9" s="5">
        <f>AVERAGE(C22:C31)</f>
        <v>9.1776299999999991E-2</v>
      </c>
      <c r="K9" s="5">
        <f>AVERAGE(D22:D31)</f>
        <v>4.07234E-2</v>
      </c>
      <c r="L9" s="5">
        <f>AVERAGE(E22:E31)</f>
        <v>15.259263999999998</v>
      </c>
    </row>
    <row r="10" spans="1:12" x14ac:dyDescent="0.25">
      <c r="A10" s="2"/>
      <c r="B10" s="3">
        <v>0.156527</v>
      </c>
      <c r="C10" s="3">
        <v>9.0961E-2</v>
      </c>
      <c r="D10" s="3">
        <v>1.042289</v>
      </c>
      <c r="E10" s="3">
        <v>14.543279</v>
      </c>
      <c r="G10" s="2"/>
      <c r="H10" s="4" t="s">
        <v>63</v>
      </c>
      <c r="I10" s="5">
        <f>MIN(B22:B31)</f>
        <v>4.1489999999999999E-2</v>
      </c>
      <c r="J10" s="5">
        <f>MIN(C22:C31)</f>
        <v>8.2753999999999994E-2</v>
      </c>
      <c r="K10" s="5">
        <f>MIN(D22:D31)</f>
        <v>3.7668E-2</v>
      </c>
      <c r="L10" s="5">
        <f>MIN(E22:E31)</f>
        <v>15.259264</v>
      </c>
    </row>
    <row r="11" spans="1:12" x14ac:dyDescent="0.25">
      <c r="A11" s="2"/>
      <c r="B11" s="3">
        <v>0.14857500000000001</v>
      </c>
      <c r="C11" s="3">
        <v>9.0870999999999993E-2</v>
      </c>
      <c r="D11" s="3">
        <v>0.960754</v>
      </c>
      <c r="E11" s="3">
        <v>14.543279</v>
      </c>
      <c r="G11" s="6" t="str">
        <f>A32</f>
        <v>CSV</v>
      </c>
      <c r="H11" s="4" t="s">
        <v>61</v>
      </c>
      <c r="I11" s="5">
        <f>MAX(B32:B41)</f>
        <v>0.90739999999999998</v>
      </c>
      <c r="J11" s="5">
        <f>MAX(C32:C41)</f>
        <v>0.131411</v>
      </c>
      <c r="K11" s="5">
        <f>MAX(D32:D41)</f>
        <v>5.7698359999999997</v>
      </c>
      <c r="L11" s="5">
        <f>MAX(E32:E41)</f>
        <v>38.397154999999998</v>
      </c>
    </row>
    <row r="12" spans="1:12" x14ac:dyDescent="0.25">
      <c r="A12" s="2" t="s">
        <v>57</v>
      </c>
      <c r="B12" s="3">
        <v>8.5649999999999997E-3</v>
      </c>
      <c r="C12" s="3">
        <v>9.6454999999999999E-2</v>
      </c>
      <c r="D12" s="3">
        <v>0.21593300000000001</v>
      </c>
      <c r="E12" s="3">
        <v>7.6293949999999997</v>
      </c>
      <c r="G12" s="6"/>
      <c r="H12" s="4" t="s">
        <v>62</v>
      </c>
      <c r="I12" s="5">
        <f>AVERAGE(B32:B41)</f>
        <v>0.77040949999999986</v>
      </c>
      <c r="J12" s="5">
        <f>AVERAGE(C32:C41)</f>
        <v>0.10100339999999999</v>
      </c>
      <c r="K12" s="5">
        <f>AVERAGE(D32:D41)</f>
        <v>5.3041007000000002</v>
      </c>
      <c r="L12" s="5">
        <f>AVERAGE(E32:E41)</f>
        <v>38.397154999999998</v>
      </c>
    </row>
    <row r="13" spans="1:12" x14ac:dyDescent="0.25">
      <c r="A13" s="2"/>
      <c r="B13" s="3">
        <v>8.2869999999999992E-3</v>
      </c>
      <c r="C13" s="3">
        <v>0.10252600000000001</v>
      </c>
      <c r="D13" s="3">
        <v>0.22388</v>
      </c>
      <c r="E13" s="3">
        <v>7.6293949999999997</v>
      </c>
      <c r="G13" s="6"/>
      <c r="H13" s="4" t="s">
        <v>63</v>
      </c>
      <c r="I13" s="5">
        <f>MIN(B32:B41)</f>
        <v>0.72697900000000004</v>
      </c>
      <c r="J13" s="5">
        <f>MIN(C32:C41)</f>
        <v>8.4460999999999994E-2</v>
      </c>
      <c r="K13" s="5">
        <f>MIN(D32:D41)</f>
        <v>5.0674070000000002</v>
      </c>
      <c r="L13" s="5">
        <f>MIN(E32:E41)</f>
        <v>38.397154999999998</v>
      </c>
    </row>
    <row r="14" spans="1:12" x14ac:dyDescent="0.25">
      <c r="A14" s="2"/>
      <c r="B14" s="3">
        <v>7.0419999999999996E-3</v>
      </c>
      <c r="C14" s="3">
        <v>0.10445500000000001</v>
      </c>
      <c r="D14" s="3">
        <v>0.21283099999999999</v>
      </c>
      <c r="E14" s="3">
        <v>7.6293949999999997</v>
      </c>
      <c r="G14" s="2" t="str">
        <f>A42</f>
        <v>BIN</v>
      </c>
      <c r="H14" s="4" t="s">
        <v>61</v>
      </c>
      <c r="I14" s="5">
        <f>MAX(B42:B51)</f>
        <v>1.8534999999999999E-2</v>
      </c>
      <c r="J14" s="5">
        <f>MAX(C42:C51)</f>
        <v>0.14264099999999999</v>
      </c>
      <c r="K14" s="5">
        <f>MAX(D42:D51)</f>
        <v>0.45890500000000001</v>
      </c>
      <c r="L14" s="5">
        <f>MAX(E42:E51)</f>
        <v>15.258789</v>
      </c>
    </row>
    <row r="15" spans="1:12" x14ac:dyDescent="0.25">
      <c r="A15" s="2"/>
      <c r="B15" s="3">
        <v>6.9179999999999997E-3</v>
      </c>
      <c r="C15" s="3">
        <v>0.108052</v>
      </c>
      <c r="D15" s="3">
        <v>0.21315600000000001</v>
      </c>
      <c r="E15" s="3">
        <v>7.6293949999999997</v>
      </c>
      <c r="G15" s="2"/>
      <c r="H15" s="4" t="s">
        <v>62</v>
      </c>
      <c r="I15" s="5">
        <f>AVERAGE(B42:B51)</f>
        <v>1.4275400000000002E-2</v>
      </c>
      <c r="J15" s="5">
        <f>AVERAGE(C42:C51)</f>
        <v>0.11209690000000001</v>
      </c>
      <c r="K15" s="5">
        <f>AVERAGE(D42:D51)</f>
        <v>0.30836170000000002</v>
      </c>
      <c r="L15" s="5">
        <f>AVERAGE(E42:E51)</f>
        <v>15.258789000000004</v>
      </c>
    </row>
    <row r="16" spans="1:12" x14ac:dyDescent="0.25">
      <c r="A16" s="2"/>
      <c r="B16" s="3">
        <v>6.6429999999999996E-3</v>
      </c>
      <c r="C16" s="3">
        <v>9.7060999999999995E-2</v>
      </c>
      <c r="D16" s="3">
        <v>0.20053199999999999</v>
      </c>
      <c r="E16" s="3">
        <v>7.6293949999999997</v>
      </c>
      <c r="G16" s="2"/>
      <c r="H16" s="4" t="s">
        <v>63</v>
      </c>
      <c r="I16" s="5">
        <f>MIN(B42:B51)</f>
        <v>1.1355000000000001E-2</v>
      </c>
      <c r="J16" s="5">
        <f>MIN(C42:C51)</f>
        <v>9.597E-2</v>
      </c>
      <c r="K16" s="5">
        <f>MIN(D42:D51)</f>
        <v>0.25437199999999999</v>
      </c>
      <c r="L16" s="5">
        <f>MIN(E42:E51)</f>
        <v>15.258789</v>
      </c>
    </row>
    <row r="17" spans="1:5" x14ac:dyDescent="0.25">
      <c r="A17" s="2"/>
      <c r="B17" s="3">
        <v>6.0720000000000001E-3</v>
      </c>
      <c r="C17" s="3">
        <v>0.100725</v>
      </c>
      <c r="D17" s="3">
        <v>0.20805199999999999</v>
      </c>
      <c r="E17" s="3">
        <v>7.6293949999999997</v>
      </c>
    </row>
    <row r="18" spans="1:5" x14ac:dyDescent="0.25">
      <c r="A18" s="2"/>
      <c r="B18" s="3">
        <v>5.5919999999999997E-3</v>
      </c>
      <c r="C18" s="3">
        <v>0.100423</v>
      </c>
      <c r="D18" s="3">
        <v>0.20218800000000001</v>
      </c>
      <c r="E18" s="3">
        <v>7.6293949999999997</v>
      </c>
    </row>
    <row r="19" spans="1:5" x14ac:dyDescent="0.25">
      <c r="A19" s="2"/>
      <c r="B19" s="3">
        <v>5.5620000000000001E-3</v>
      </c>
      <c r="C19" s="3">
        <v>9.4196000000000002E-2</v>
      </c>
      <c r="D19" s="3">
        <v>0.21625900000000001</v>
      </c>
      <c r="E19" s="3">
        <v>7.6293949999999997</v>
      </c>
    </row>
    <row r="20" spans="1:5" x14ac:dyDescent="0.25">
      <c r="A20" s="2"/>
      <c r="B20" s="3">
        <v>5.4580000000000002E-3</v>
      </c>
      <c r="C20" s="3">
        <v>0.124455</v>
      </c>
      <c r="D20" s="3">
        <v>0.21277199999999999</v>
      </c>
      <c r="E20" s="3">
        <v>7.6293949999999997</v>
      </c>
    </row>
    <row r="21" spans="1:5" x14ac:dyDescent="0.25">
      <c r="A21" s="2"/>
      <c r="B21" s="3">
        <v>5.2420000000000001E-3</v>
      </c>
      <c r="C21" s="3">
        <v>0.10280599999999999</v>
      </c>
      <c r="D21" s="3">
        <v>0.236874</v>
      </c>
      <c r="E21" s="3">
        <v>7.6293949999999997</v>
      </c>
    </row>
    <row r="22" spans="1:5" x14ac:dyDescent="0.25">
      <c r="A22" s="2" t="s">
        <v>58</v>
      </c>
      <c r="B22" s="3">
        <v>5.5066999999999998E-2</v>
      </c>
      <c r="C22" s="3">
        <v>9.8693000000000003E-2</v>
      </c>
      <c r="D22" s="3">
        <v>3.8704000000000002E-2</v>
      </c>
      <c r="E22" s="3">
        <v>15.259264</v>
      </c>
    </row>
    <row r="23" spans="1:5" x14ac:dyDescent="0.25">
      <c r="A23" s="2"/>
      <c r="B23" s="3">
        <v>5.0914000000000001E-2</v>
      </c>
      <c r="C23" s="3">
        <v>9.7154000000000004E-2</v>
      </c>
      <c r="D23" s="3">
        <v>4.3637000000000002E-2</v>
      </c>
      <c r="E23" s="3">
        <v>15.259264</v>
      </c>
    </row>
    <row r="24" spans="1:5" x14ac:dyDescent="0.25">
      <c r="A24" s="2"/>
      <c r="B24" s="3">
        <v>4.8286000000000003E-2</v>
      </c>
      <c r="C24" s="3">
        <v>9.8247000000000001E-2</v>
      </c>
      <c r="D24" s="3">
        <v>3.9752000000000003E-2</v>
      </c>
      <c r="E24" s="3">
        <v>15.259264</v>
      </c>
    </row>
    <row r="25" spans="1:5" x14ac:dyDescent="0.25">
      <c r="A25" s="2"/>
      <c r="B25" s="3">
        <v>4.7470999999999999E-2</v>
      </c>
      <c r="C25" s="3">
        <v>8.4106E-2</v>
      </c>
      <c r="D25" s="3">
        <v>3.9205999999999998E-2</v>
      </c>
      <c r="E25" s="3">
        <v>15.259264</v>
      </c>
    </row>
    <row r="26" spans="1:5" x14ac:dyDescent="0.25">
      <c r="A26" s="2"/>
      <c r="B26" s="3">
        <v>4.5894999999999998E-2</v>
      </c>
      <c r="C26" s="3">
        <v>0.102948</v>
      </c>
      <c r="D26" s="3">
        <v>4.1306000000000002E-2</v>
      </c>
      <c r="E26" s="3">
        <v>15.259264</v>
      </c>
    </row>
    <row r="27" spans="1:5" x14ac:dyDescent="0.25">
      <c r="A27" s="2"/>
      <c r="B27" s="3">
        <v>4.5782999999999997E-2</v>
      </c>
      <c r="C27" s="3">
        <v>8.8430999999999996E-2</v>
      </c>
      <c r="D27" s="3">
        <v>4.6035E-2</v>
      </c>
      <c r="E27" s="3">
        <v>15.259264</v>
      </c>
    </row>
    <row r="28" spans="1:5" x14ac:dyDescent="0.25">
      <c r="A28" s="2"/>
      <c r="B28" s="3">
        <v>4.5319999999999999E-2</v>
      </c>
      <c r="C28" s="3">
        <v>8.9895000000000003E-2</v>
      </c>
      <c r="D28" s="3">
        <v>4.1623E-2</v>
      </c>
      <c r="E28" s="3">
        <v>15.259264</v>
      </c>
    </row>
    <row r="29" spans="1:5" x14ac:dyDescent="0.25">
      <c r="A29" s="2"/>
      <c r="B29" s="3">
        <v>4.3922999999999997E-2</v>
      </c>
      <c r="C29" s="3">
        <v>8.8147000000000003E-2</v>
      </c>
      <c r="D29" s="3">
        <v>3.9706999999999999E-2</v>
      </c>
      <c r="E29" s="3">
        <v>15.259264</v>
      </c>
    </row>
    <row r="30" spans="1:5" x14ac:dyDescent="0.25">
      <c r="A30" s="2"/>
      <c r="B30" s="3">
        <v>4.3713000000000002E-2</v>
      </c>
      <c r="C30" s="3">
        <v>8.7387999999999993E-2</v>
      </c>
      <c r="D30" s="3">
        <v>3.9595999999999999E-2</v>
      </c>
      <c r="E30" s="3">
        <v>15.259264</v>
      </c>
    </row>
    <row r="31" spans="1:5" x14ac:dyDescent="0.25">
      <c r="A31" s="2"/>
      <c r="B31" s="3">
        <v>4.1489999999999999E-2</v>
      </c>
      <c r="C31" s="3">
        <v>8.2753999999999994E-2</v>
      </c>
      <c r="D31" s="3">
        <v>3.7668E-2</v>
      </c>
      <c r="E31" s="3">
        <v>15.259264</v>
      </c>
    </row>
    <row r="32" spans="1:5" x14ac:dyDescent="0.25">
      <c r="A32" s="2" t="s">
        <v>59</v>
      </c>
      <c r="B32" s="3">
        <v>0.90739999999999998</v>
      </c>
      <c r="C32" s="3">
        <v>9.9232000000000001E-2</v>
      </c>
      <c r="D32" s="3">
        <v>5.3235510000000001</v>
      </c>
      <c r="E32" s="3">
        <v>38.397154999999998</v>
      </c>
    </row>
    <row r="33" spans="1:5" x14ac:dyDescent="0.25">
      <c r="A33" s="2"/>
      <c r="B33" s="3">
        <v>0.79020199999999996</v>
      </c>
      <c r="C33" s="3">
        <v>0.105348</v>
      </c>
      <c r="D33" s="3">
        <v>5.2331209999999997</v>
      </c>
      <c r="E33" s="3">
        <v>38.397154999999998</v>
      </c>
    </row>
    <row r="34" spans="1:5" x14ac:dyDescent="0.25">
      <c r="A34" s="2"/>
      <c r="B34" s="3">
        <v>0.77578999999999998</v>
      </c>
      <c r="C34" s="3">
        <v>0.11239499999999999</v>
      </c>
      <c r="D34" s="3">
        <v>5.3725350000000001</v>
      </c>
      <c r="E34" s="3">
        <v>38.397154999999998</v>
      </c>
    </row>
    <row r="35" spans="1:5" x14ac:dyDescent="0.25">
      <c r="A35" s="2"/>
      <c r="B35" s="3">
        <v>0.76801900000000001</v>
      </c>
      <c r="C35" s="3">
        <v>0.131411</v>
      </c>
      <c r="D35" s="3">
        <v>5.7698359999999997</v>
      </c>
      <c r="E35" s="3">
        <v>38.397154999999998</v>
      </c>
    </row>
    <row r="36" spans="1:5" x14ac:dyDescent="0.25">
      <c r="A36" s="2"/>
      <c r="B36" s="3">
        <v>0.76755399999999996</v>
      </c>
      <c r="C36" s="3">
        <v>8.4460999999999994E-2</v>
      </c>
      <c r="D36" s="3">
        <v>5.2433269999999998</v>
      </c>
      <c r="E36" s="3">
        <v>38.397154999999998</v>
      </c>
    </row>
    <row r="37" spans="1:5" x14ac:dyDescent="0.25">
      <c r="A37" s="2"/>
      <c r="B37" s="3">
        <v>0.75512800000000002</v>
      </c>
      <c r="C37" s="3">
        <v>8.7147000000000002E-2</v>
      </c>
      <c r="D37" s="3">
        <v>5.3816569999999997</v>
      </c>
      <c r="E37" s="3">
        <v>38.397154999999998</v>
      </c>
    </row>
    <row r="38" spans="1:5" x14ac:dyDescent="0.25">
      <c r="A38" s="2"/>
      <c r="B38" s="3">
        <v>0.74694300000000002</v>
      </c>
      <c r="C38" s="3">
        <v>9.0843999999999994E-2</v>
      </c>
      <c r="D38" s="3">
        <v>5.1217670000000002</v>
      </c>
      <c r="E38" s="3">
        <v>38.397154999999998</v>
      </c>
    </row>
    <row r="39" spans="1:5" x14ac:dyDescent="0.25">
      <c r="A39" s="2"/>
      <c r="B39" s="3">
        <v>0.73560899999999996</v>
      </c>
      <c r="C39" s="3">
        <v>9.5848000000000003E-2</v>
      </c>
      <c r="D39" s="3">
        <v>5.4102819999999996</v>
      </c>
      <c r="E39" s="3">
        <v>38.397154999999998</v>
      </c>
    </row>
    <row r="40" spans="1:5" x14ac:dyDescent="0.25">
      <c r="A40" s="2"/>
      <c r="B40" s="3">
        <v>0.73047099999999998</v>
      </c>
      <c r="C40" s="3">
        <v>0.107725</v>
      </c>
      <c r="D40" s="3">
        <v>5.0674070000000002</v>
      </c>
      <c r="E40" s="3">
        <v>38.397154999999998</v>
      </c>
    </row>
    <row r="41" spans="1:5" x14ac:dyDescent="0.25">
      <c r="A41" s="2"/>
      <c r="B41" s="3">
        <v>0.72697900000000004</v>
      </c>
      <c r="C41" s="3">
        <v>9.5623E-2</v>
      </c>
      <c r="D41" s="3">
        <v>5.1175240000000004</v>
      </c>
      <c r="E41" s="3">
        <v>38.397154999999998</v>
      </c>
    </row>
    <row r="42" spans="1:5" x14ac:dyDescent="0.25">
      <c r="A42" s="2" t="s">
        <v>60</v>
      </c>
      <c r="B42" s="3">
        <v>1.8534999999999999E-2</v>
      </c>
      <c r="C42" s="3">
        <v>0.11476500000000001</v>
      </c>
      <c r="D42" s="3">
        <v>0.354439</v>
      </c>
      <c r="E42" s="3">
        <v>15.258789</v>
      </c>
    </row>
    <row r="43" spans="1:5" x14ac:dyDescent="0.25">
      <c r="A43" s="2"/>
      <c r="B43" s="3">
        <v>1.7770000000000001E-2</v>
      </c>
      <c r="C43" s="3">
        <v>0.14264099999999999</v>
      </c>
      <c r="D43" s="3">
        <v>0.25437199999999999</v>
      </c>
      <c r="E43" s="3">
        <v>15.258789</v>
      </c>
    </row>
    <row r="44" spans="1:5" x14ac:dyDescent="0.25">
      <c r="A44" s="2"/>
      <c r="B44" s="3">
        <v>1.5570000000000001E-2</v>
      </c>
      <c r="C44" s="3">
        <v>0.115921</v>
      </c>
      <c r="D44" s="3">
        <v>0.26535999999999998</v>
      </c>
      <c r="E44" s="3">
        <v>15.258789</v>
      </c>
    </row>
    <row r="45" spans="1:5" x14ac:dyDescent="0.25">
      <c r="A45" s="2"/>
      <c r="B45" s="3">
        <v>1.4574999999999999E-2</v>
      </c>
      <c r="C45" s="3">
        <v>0.11451699999999999</v>
      </c>
      <c r="D45" s="3">
        <v>0.27240799999999998</v>
      </c>
      <c r="E45" s="3">
        <v>15.258789</v>
      </c>
    </row>
    <row r="46" spans="1:5" x14ac:dyDescent="0.25">
      <c r="A46" s="2"/>
      <c r="B46" s="3">
        <v>1.4529E-2</v>
      </c>
      <c r="C46" s="3">
        <v>0.120033</v>
      </c>
      <c r="D46" s="3">
        <v>0.33250000000000002</v>
      </c>
      <c r="E46" s="3">
        <v>15.258789</v>
      </c>
    </row>
    <row r="47" spans="1:5" x14ac:dyDescent="0.25">
      <c r="A47" s="2"/>
      <c r="B47" s="3">
        <v>1.3916E-2</v>
      </c>
      <c r="C47" s="3">
        <v>0.10305</v>
      </c>
      <c r="D47" s="3">
        <v>0.257637</v>
      </c>
      <c r="E47" s="3">
        <v>15.258789</v>
      </c>
    </row>
    <row r="48" spans="1:5" x14ac:dyDescent="0.25">
      <c r="A48" s="2"/>
      <c r="B48" s="3">
        <v>1.3388000000000001E-2</v>
      </c>
      <c r="C48" s="3">
        <v>0.104712</v>
      </c>
      <c r="D48" s="3">
        <v>0.33744000000000002</v>
      </c>
      <c r="E48" s="3">
        <v>15.258789</v>
      </c>
    </row>
    <row r="49" spans="1:5" x14ac:dyDescent="0.25">
      <c r="A49" s="2"/>
      <c r="B49" s="3">
        <v>1.1701E-2</v>
      </c>
      <c r="C49" s="3">
        <v>9.8864999999999995E-2</v>
      </c>
      <c r="D49" s="3">
        <v>0.45890500000000001</v>
      </c>
      <c r="E49" s="3">
        <v>15.258789</v>
      </c>
    </row>
    <row r="50" spans="1:5" x14ac:dyDescent="0.25">
      <c r="A50" s="2"/>
      <c r="B50" s="3">
        <v>1.1415E-2</v>
      </c>
      <c r="C50" s="3">
        <v>0.110495</v>
      </c>
      <c r="D50" s="3">
        <v>0.28693800000000003</v>
      </c>
      <c r="E50" s="3">
        <v>15.258789</v>
      </c>
    </row>
    <row r="51" spans="1:5" x14ac:dyDescent="0.25">
      <c r="A51" s="2"/>
      <c r="B51" s="3">
        <v>1.1355000000000001E-2</v>
      </c>
      <c r="C51" s="3">
        <v>9.597E-2</v>
      </c>
      <c r="D51" s="3">
        <v>0.26361800000000002</v>
      </c>
      <c r="E51" s="3">
        <v>15.258789</v>
      </c>
    </row>
  </sheetData>
  <mergeCells count="10">
    <mergeCell ref="G2:G4"/>
    <mergeCell ref="G5:G7"/>
    <mergeCell ref="G8:G10"/>
    <mergeCell ref="G11:G13"/>
    <mergeCell ref="G14:G16"/>
    <mergeCell ref="A2:A11"/>
    <mergeCell ref="A12:A21"/>
    <mergeCell ref="A22:A31"/>
    <mergeCell ref="A32:A41"/>
    <mergeCell ref="A42:A51"/>
  </mergeCells>
  <conditionalFormatting sqref="J2:J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K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  <ignoredErrors>
    <ignoredError sqref="I2:L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Tardon</dc:creator>
  <cp:lastModifiedBy>Damian Tardon</cp:lastModifiedBy>
  <dcterms:created xsi:type="dcterms:W3CDTF">2025-11-07T00:17:29Z</dcterms:created>
  <dcterms:modified xsi:type="dcterms:W3CDTF">2025-11-11T21:34:53Z</dcterms:modified>
</cp:coreProperties>
</file>